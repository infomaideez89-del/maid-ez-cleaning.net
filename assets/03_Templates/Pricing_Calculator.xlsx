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idential Pricing" sheetId="1" state="visible" r:id="rId1"/>
    <sheet xmlns:r="http://schemas.openxmlformats.org/officeDocument/2006/relationships" name="Commercial Pricing" sheetId="2" state="visible" r:id="rId2"/>
    <sheet xmlns:r="http://schemas.openxmlformats.org/officeDocument/2006/relationships" name="Supply Costs" sheetId="3" state="visible" r:id="rId3"/>
    <sheet xmlns:r="http://schemas.openxmlformats.org/officeDocument/2006/relationships" name="Profit Calculato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.00"/>
    <numFmt numFmtId="165" formatCode="$0.00"/>
    <numFmt numFmtId="166" formatCode="0.0%"/>
  </numFmts>
  <fonts count="7">
    <font>
      <name val="Calibri"/>
      <family val="2"/>
      <color theme="1"/>
      <sz val="11"/>
      <scheme val="minor"/>
    </font>
    <font>
      <b val="1"/>
      <color rgb="001A1A2E"/>
      <sz val="16"/>
    </font>
    <font>
      <b val="1"/>
      <color rgb="001A1A2E"/>
      <sz val="14"/>
    </font>
    <font>
      <b val="1"/>
      <color rgb="00FFFFFF"/>
      <sz val="12"/>
    </font>
    <font>
      <b val="1"/>
    </font>
    <font>
      <b val="1"/>
      <sz val="14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D4AF37"/>
        <bgColor rgb="00D4AF37"/>
      </patternFill>
    </fill>
    <fill>
      <patternFill patternType="solid">
        <fgColor rgb="00FFF8E7"/>
        <bgColor rgb="00FFF8E7"/>
      </patternFill>
    </fill>
    <fill>
      <patternFill patternType="solid">
        <fgColor rgb="00E3F2FD"/>
        <bgColor rgb="00E3F2F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pivotButton="0" quotePrefix="0" xfId="0"/>
    <xf numFmtId="0" fontId="0" fillId="0" borderId="1" pivotButton="0" quotePrefix="0" xfId="0"/>
    <xf numFmtId="164" fontId="0" fillId="0" borderId="1" pivotButton="0" quotePrefix="0" xfId="0"/>
    <xf numFmtId="0" fontId="0" fillId="3" borderId="1" pivotButton="0" quotePrefix="0" xfId="0"/>
    <xf numFmtId="0" fontId="0" fillId="3" borderId="0" pivotButton="0" quotePrefix="0" xfId="0"/>
    <xf numFmtId="164" fontId="0" fillId="0" borderId="0" pivotButton="0" quotePrefix="0" xfId="0"/>
    <xf numFmtId="164" fontId="4" fillId="0" borderId="0" pivotButton="0" quotePrefix="0" xfId="0"/>
    <xf numFmtId="0" fontId="4" fillId="0" borderId="0" pivotButton="0" quotePrefix="0" xfId="0"/>
    <xf numFmtId="164" fontId="5" fillId="2" borderId="0" pivotButton="0" quotePrefix="0" xfId="0"/>
    <xf numFmtId="165" fontId="0" fillId="0" borderId="1" pivotButton="0" quotePrefix="0" xfId="0"/>
    <xf numFmtId="164" fontId="6" fillId="2" borderId="0" pivotButton="0" quotePrefix="0" xfId="0"/>
    <xf numFmtId="164" fontId="0" fillId="3" borderId="0" pivotButton="0" quotePrefix="0" xfId="0"/>
    <xf numFmtId="164" fontId="6" fillId="4" borderId="0" pivotButton="0" quotePrefix="0" xfId="0"/>
    <xf numFmtId="166" fontId="6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8" customWidth="1" min="3" max="3"/>
    <col width="12" customWidth="1" min="4" max="4"/>
    <col width="15" customWidth="1" min="5" max="5"/>
  </cols>
  <sheetData>
    <row r="1">
      <c r="A1" s="1" t="inlineStr">
        <is>
          <t>MAID EZ CLEANING - RESIDENTIAL PRICING CALCULATOR</t>
        </is>
      </c>
    </row>
    <row r="3">
      <c r="A3" s="2" t="inlineStr">
        <is>
          <t>CLIENT INFORMATION</t>
        </is>
      </c>
    </row>
    <row r="4">
      <c r="A4" t="inlineStr">
        <is>
          <t>Client Name:</t>
        </is>
      </c>
      <c r="C4" t="inlineStr">
        <is>
          <t>Date:</t>
        </is>
      </c>
    </row>
    <row r="5">
      <c r="A5" t="inlineStr">
        <is>
          <t>Address:</t>
        </is>
      </c>
    </row>
    <row r="6">
      <c r="A6" t="inlineStr">
        <is>
          <t>Phone:</t>
        </is>
      </c>
      <c r="C6" t="inlineStr">
        <is>
          <t>Prepared By: Teresa Crews</t>
        </is>
      </c>
    </row>
    <row r="8">
      <c r="A8" s="2" t="inlineStr">
        <is>
          <t>SERVICE TYPE</t>
        </is>
      </c>
    </row>
    <row r="9">
      <c r="A9" s="3" t="inlineStr">
        <is>
          <t>Service</t>
        </is>
      </c>
      <c r="B9" s="3" t="inlineStr">
        <is>
          <t>Base Rate</t>
        </is>
      </c>
      <c r="C9" s="3" t="inlineStr">
        <is>
          <t>Qty/Sq Ft Factor</t>
        </is>
      </c>
      <c r="D9" s="3" t="inlineStr">
        <is>
          <t>Multiplier</t>
        </is>
      </c>
      <c r="E9" s="3" t="inlineStr">
        <is>
          <t>Total</t>
        </is>
      </c>
    </row>
    <row r="10">
      <c r="A10" s="4" t="inlineStr">
        <is>
          <t>Standard Cleaning</t>
        </is>
      </c>
      <c r="B10" s="5" t="n">
        <v>120</v>
      </c>
      <c r="C10" s="6" t="inlineStr">
        <is>
          <t>Enter Sq Ft</t>
        </is>
      </c>
      <c r="D10" s="4">
        <f>C10/1000</f>
        <v/>
      </c>
      <c r="E10" s="5">
        <f>B10*D10</f>
        <v/>
      </c>
    </row>
    <row r="11">
      <c r="A11" s="4" t="inlineStr">
        <is>
          <t>Deep Cleaning</t>
        </is>
      </c>
      <c r="B11" s="5" t="n">
        <v>180</v>
      </c>
      <c r="C11" s="6" t="inlineStr">
        <is>
          <t>Enter Sq Ft</t>
        </is>
      </c>
      <c r="D11" s="4">
        <f>C11/1000</f>
        <v/>
      </c>
      <c r="E11" s="5">
        <f>B11*D11</f>
        <v/>
      </c>
    </row>
    <row r="12">
      <c r="A12" s="4" t="inlineStr">
        <is>
          <t>Move-In/Out Cleaning</t>
        </is>
      </c>
      <c r="B12" s="5" t="n">
        <v>250</v>
      </c>
      <c r="C12" s="6" t="inlineStr">
        <is>
          <t>Enter Sq Ft</t>
        </is>
      </c>
      <c r="D12" s="4">
        <f>C12/1000</f>
        <v/>
      </c>
      <c r="E12" s="5">
        <f>B12*D12</f>
        <v/>
      </c>
    </row>
    <row r="14">
      <c r="A14" s="2" t="inlineStr">
        <is>
          <t>HOME SPECIFICATIONS</t>
        </is>
      </c>
    </row>
    <row r="15">
      <c r="A15" t="inlineStr">
        <is>
          <t>Square Footage:</t>
        </is>
      </c>
      <c r="C15" s="7" t="inlineStr">
        <is>
          <t>Enter value</t>
        </is>
      </c>
    </row>
    <row r="16">
      <c r="A16" t="inlineStr">
        <is>
          <t>Number of Bedrooms:</t>
        </is>
      </c>
      <c r="C16" s="7" t="inlineStr">
        <is>
          <t>Enter qty</t>
        </is>
      </c>
      <c r="D16" t="n">
        <v>25</v>
      </c>
      <c r="E16" s="8">
        <f>C16*D16</f>
        <v/>
      </c>
    </row>
    <row r="17">
      <c r="A17" t="inlineStr">
        <is>
          <t>Number of Bathrooms:</t>
        </is>
      </c>
      <c r="C17" s="7" t="inlineStr">
        <is>
          <t>Enter qty</t>
        </is>
      </c>
      <c r="D17" t="n">
        <v>35</v>
      </c>
      <c r="E17" s="8">
        <f>C17*D17</f>
        <v/>
      </c>
    </row>
    <row r="18">
      <c r="A18" t="inlineStr">
        <is>
          <t>Multi-Story Add-on:</t>
        </is>
      </c>
      <c r="C18" s="7" t="inlineStr">
        <is>
          <t>Enter qty (floors)</t>
        </is>
      </c>
      <c r="D18" t="n">
        <v>40</v>
      </c>
      <c r="E18" s="8">
        <f>C18*D18</f>
        <v/>
      </c>
    </row>
    <row r="20">
      <c r="A20" s="2" t="inlineStr">
        <is>
          <t>ADDITIONAL SERVICES</t>
        </is>
      </c>
    </row>
    <row r="21">
      <c r="A21" s="3" t="inlineStr">
        <is>
          <t>Service</t>
        </is>
      </c>
      <c r="B21" s="3" t="inlineStr">
        <is>
          <t>Price</t>
        </is>
      </c>
      <c r="C21" s="3" t="inlineStr">
        <is>
          <t>Quantity</t>
        </is>
      </c>
      <c r="E21" s="3" t="inlineStr">
        <is>
          <t>Total</t>
        </is>
      </c>
    </row>
    <row r="22">
      <c r="A22" s="4" t="inlineStr">
        <is>
          <t>Inside Refrigerator</t>
        </is>
      </c>
      <c r="B22" s="5" t="n">
        <v>35</v>
      </c>
      <c r="C22" s="6" t="inlineStr">
        <is>
          <t>Enter qty</t>
        </is>
      </c>
      <c r="E22" s="5">
        <f>B22*C22</f>
        <v/>
      </c>
    </row>
    <row r="23">
      <c r="A23" s="4" t="inlineStr">
        <is>
          <t>Inside Oven</t>
        </is>
      </c>
      <c r="B23" s="5" t="n">
        <v>35</v>
      </c>
      <c r="C23" s="6" t="inlineStr">
        <is>
          <t>Enter qty</t>
        </is>
      </c>
      <c r="E23" s="5">
        <f>B23*C23</f>
        <v/>
      </c>
    </row>
    <row r="24">
      <c r="A24" s="4" t="inlineStr">
        <is>
          <t>Interior Windows</t>
        </is>
      </c>
      <c r="B24" s="5" t="n">
        <v>5</v>
      </c>
      <c r="C24" s="6" t="inlineStr">
        <is>
          <t>Enter qty</t>
        </is>
      </c>
      <c r="E24" s="5">
        <f>B24*C24</f>
        <v/>
      </c>
    </row>
    <row r="25">
      <c r="A25" s="4" t="inlineStr">
        <is>
          <t>Cabinet Organization</t>
        </is>
      </c>
      <c r="B25" s="5" t="n">
        <v>75</v>
      </c>
      <c r="C25" s="6" t="inlineStr">
        <is>
          <t>Enter qty</t>
        </is>
      </c>
      <c r="E25" s="5">
        <f>B25*C25</f>
        <v/>
      </c>
    </row>
    <row r="26">
      <c r="A26" s="4" t="inlineStr">
        <is>
          <t>Carpet Shampooing (per room)</t>
        </is>
      </c>
      <c r="B26" s="5" t="n">
        <v>75</v>
      </c>
      <c r="C26" s="6" t="inlineStr">
        <is>
          <t>Enter qty</t>
        </is>
      </c>
      <c r="E26" s="5">
        <f>B26*C26</f>
        <v/>
      </c>
    </row>
    <row r="27">
      <c r="A27" s="4" t="inlineStr">
        <is>
          <t>Wall Washing (Spot)</t>
        </is>
      </c>
      <c r="B27" s="5" t="n">
        <v>150</v>
      </c>
      <c r="C27" s="6" t="inlineStr">
        <is>
          <t>Enter qty</t>
        </is>
      </c>
      <c r="E27" s="5">
        <f>B27*C27</f>
        <v/>
      </c>
    </row>
    <row r="29">
      <c r="A29" s="2" t="inlineStr">
        <is>
          <t>DISCOUNTS</t>
        </is>
      </c>
    </row>
    <row r="30">
      <c r="A30" t="inlineStr">
        <is>
          <t>Recurring Weekly (-15%)</t>
        </is>
      </c>
      <c r="C30" s="7" t="inlineStr">
        <is>
          <t>Enter 1 if yes</t>
        </is>
      </c>
      <c r="E30">
        <f>IF(C30=1,-0.15,0)</f>
        <v/>
      </c>
    </row>
    <row r="31">
      <c r="A31" t="inlineStr">
        <is>
          <t>Recurring Bi-Weekly (-10%)</t>
        </is>
      </c>
      <c r="C31" s="7" t="inlineStr">
        <is>
          <t>Enter 1 if yes</t>
        </is>
      </c>
      <c r="E31">
        <f>IF(C31=1,-0.1,0)</f>
        <v/>
      </c>
    </row>
    <row r="32">
      <c r="A32" t="inlineStr">
        <is>
          <t>First-Time Client (-$20)</t>
        </is>
      </c>
      <c r="C32" s="7" t="inlineStr">
        <is>
          <t>Enter 1 if yes</t>
        </is>
      </c>
      <c r="E32" s="8">
        <f>IF(C32=1,-20,0)</f>
        <v/>
      </c>
    </row>
    <row r="34">
      <c r="A34" s="2" t="inlineStr">
        <is>
          <t>TOTAL CALCULATION</t>
        </is>
      </c>
    </row>
    <row r="35">
      <c r="A35" t="inlineStr">
        <is>
          <t>Subtotal:</t>
        </is>
      </c>
      <c r="E35" s="9">
        <f>SUM(E10:E12,E16:E18,E22:E27)</f>
        <v/>
      </c>
    </row>
    <row r="36">
      <c r="A36" t="inlineStr">
        <is>
          <t>Discount Applied:</t>
        </is>
      </c>
      <c r="E36" s="8">
        <f>E35*SUM(E30:E31)+E32</f>
        <v/>
      </c>
    </row>
    <row r="37">
      <c r="A37" s="10" t="inlineStr">
        <is>
          <t>GRAND TOTAL:</t>
        </is>
      </c>
      <c r="E37" s="11">
        <f>E35+E36</f>
        <v/>
      </c>
    </row>
    <row r="38">
      <c r="A38" t="inlineStr">
        <is>
          <t>Deposit Required (50%):</t>
        </is>
      </c>
      <c r="E38" s="8">
        <f>E37*0.5</f>
        <v/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25" customWidth="1" min="3" max="3"/>
    <col width="20" customWidth="1" min="4" max="4"/>
  </cols>
  <sheetData>
    <row r="1">
      <c r="A1" s="1" t="inlineStr">
        <is>
          <t>MAID EZ CLEANING - COMMERCIAL PRICING</t>
        </is>
      </c>
    </row>
    <row r="3">
      <c r="A3" s="3" t="inlineStr">
        <is>
          <t>Service Type</t>
        </is>
      </c>
      <c r="B3" s="3" t="inlineStr">
        <is>
          <t>Rate</t>
        </is>
      </c>
      <c r="C3" s="3" t="inlineStr">
        <is>
          <t>Unit</t>
        </is>
      </c>
      <c r="D3" s="3" t="inlineStr">
        <is>
          <t>Est. Time</t>
        </is>
      </c>
    </row>
    <row r="4">
      <c r="A4" s="4" t="inlineStr">
        <is>
          <t>Office Cleaning (Basic)</t>
        </is>
      </c>
      <c r="B4" s="12" t="n">
        <v>0.15</v>
      </c>
      <c r="C4" s="4" t="inlineStr">
        <is>
          <t>per sq ft</t>
        </is>
      </c>
      <c r="D4" s="4" t="inlineStr">
        <is>
          <t>1-2 hrs/1000 sq ft</t>
        </is>
      </c>
    </row>
    <row r="5">
      <c r="A5" s="4" t="inlineStr">
        <is>
          <t>Medical Office Sanitization</t>
        </is>
      </c>
      <c r="B5" s="12" t="n">
        <v>0.25</v>
      </c>
      <c r="C5" s="4" t="inlineStr">
        <is>
          <t>per sq ft</t>
        </is>
      </c>
      <c r="D5" s="4" t="inlineStr">
        <is>
          <t>2-3 hrs/1000 sq ft</t>
        </is>
      </c>
    </row>
    <row r="6">
      <c r="A6" s="4" t="inlineStr">
        <is>
          <t>Post-Construction Cleaning</t>
        </is>
      </c>
      <c r="B6" s="12" t="n">
        <v>0.35</v>
      </c>
      <c r="C6" s="4" t="inlineStr">
        <is>
          <t>per sq ft</t>
        </is>
      </c>
      <c r="D6" s="4" t="inlineStr">
        <is>
          <t>Varies</t>
        </is>
      </c>
    </row>
    <row r="7">
      <c r="A7" s="4" t="inlineStr">
        <is>
          <t>Hourly Rate (Special Projects)</t>
        </is>
      </c>
      <c r="B7" s="5" t="n">
        <v>65</v>
      </c>
      <c r="C7" s="4" t="inlineStr">
        <is>
          <t>per hour</t>
        </is>
      </c>
      <c r="D7" s="4" t="inlineStr">
        <is>
          <t>Per project</t>
        </is>
      </c>
    </row>
    <row r="10">
      <c r="A10" s="2" t="inlineStr">
        <is>
          <t>COMMERCIAL QUOTE CALCULATOR</t>
        </is>
      </c>
    </row>
    <row r="11">
      <c r="A11" t="inlineStr">
        <is>
          <t>Square Footage:</t>
        </is>
      </c>
      <c r="C11" s="7" t="inlineStr">
        <is>
          <t>Enter value</t>
        </is>
      </c>
    </row>
    <row r="12">
      <c r="A12" t="inlineStr">
        <is>
          <t>Service Type:</t>
        </is>
      </c>
      <c r="C12" s="7" t="inlineStr">
        <is>
          <t>Select rate from above</t>
        </is>
      </c>
    </row>
    <row r="13">
      <c r="A13" s="10" t="inlineStr">
        <is>
          <t>ESTIMATED TOTAL:</t>
        </is>
      </c>
      <c r="C13" s="13">
        <f>C11*C12</f>
        <v/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MAID EZ CLEANING - SUPPLY COST ESTIMATOR</t>
        </is>
      </c>
    </row>
    <row r="3">
      <c r="A3" s="3" t="inlineStr">
        <is>
          <t>Supply Item</t>
        </is>
      </c>
      <c r="B3" s="3" t="inlineStr">
        <is>
          <t>Cost per Use</t>
        </is>
      </c>
      <c r="C3" s="3" t="inlineStr">
        <is>
          <t>Jobs per Container</t>
        </is>
      </c>
      <c r="D3" s="3" t="inlineStr">
        <is>
          <t>Cost per Job</t>
        </is>
      </c>
    </row>
    <row r="4">
      <c r="A4" s="4" t="inlineStr">
        <is>
          <t>All-Purpose Cleaner</t>
        </is>
      </c>
      <c r="B4" s="5" t="n">
        <v>0.5</v>
      </c>
      <c r="C4" s="4" t="n">
        <v>40</v>
      </c>
      <c r="D4" s="5" t="n">
        <v>0.5</v>
      </c>
    </row>
    <row r="5">
      <c r="A5" s="4" t="inlineStr">
        <is>
          <t>Glass Cleaner</t>
        </is>
      </c>
      <c r="B5" s="5" t="n">
        <v>0.3</v>
      </c>
      <c r="C5" s="4" t="n">
        <v>50</v>
      </c>
      <c r="D5" s="5" t="n">
        <v>0.3</v>
      </c>
    </row>
    <row r="6">
      <c r="A6" s="4" t="inlineStr">
        <is>
          <t>Disinfectant</t>
        </is>
      </c>
      <c r="B6" s="5" t="n">
        <v>0.8</v>
      </c>
      <c r="C6" s="4" t="n">
        <v>25</v>
      </c>
      <c r="D6" s="5" t="n">
        <v>0.8</v>
      </c>
    </row>
    <row r="7">
      <c r="A7" s="4" t="inlineStr">
        <is>
          <t>Microfiber Cloths (washable)</t>
        </is>
      </c>
      <c r="B7" s="5" t="n">
        <v>0.1</v>
      </c>
      <c r="C7" s="4" t="n">
        <v>100</v>
      </c>
      <c r="D7" s="5" t="n">
        <v>0.1</v>
      </c>
    </row>
    <row r="8">
      <c r="A8" s="4" t="inlineStr">
        <is>
          <t>Mop Heads</t>
        </is>
      </c>
      <c r="B8" s="5" t="n">
        <v>0.25</v>
      </c>
      <c r="C8" s="4" t="n">
        <v>20</v>
      </c>
      <c r="D8" s="5" t="n">
        <v>0.25</v>
      </c>
    </row>
    <row r="9">
      <c r="A9" s="4" t="inlineStr">
        <is>
          <t>Vacuum Bags</t>
        </is>
      </c>
      <c r="B9" s="5" t="n">
        <v>2</v>
      </c>
      <c r="C9" s="4" t="n">
        <v>1</v>
      </c>
      <c r="D9" s="5" t="n">
        <v>2</v>
      </c>
    </row>
    <row r="10">
      <c r="A10" s="4" t="inlineStr">
        <is>
          <t>Gloves (pair)</t>
        </is>
      </c>
      <c r="B10" s="5" t="n">
        <v>0.5</v>
      </c>
      <c r="C10" s="4" t="n">
        <v>1</v>
      </c>
      <c r="D10" s="5" t="n">
        <v>0.5</v>
      </c>
    </row>
    <row r="11">
      <c r="A11" s="4" t="inlineStr">
        <is>
          <t>Travel/Fuel (per mile)</t>
        </is>
      </c>
      <c r="B11" s="5" t="n">
        <v>0.67</v>
      </c>
      <c r="C11" s="6" t="inlineStr">
        <is>
          <t>Enter miles:</t>
        </is>
      </c>
      <c r="D11" s="5">
        <f>B11*C11</f>
        <v/>
      </c>
    </row>
    <row r="13">
      <c r="A13" s="10" t="inlineStr">
        <is>
          <t>Total Supplies per Job:</t>
        </is>
      </c>
      <c r="D13" s="13">
        <f>SUM(D4:D11)</f>
        <v/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20" customWidth="1" min="3" max="3"/>
  </cols>
  <sheetData>
    <row r="1">
      <c r="A1" s="1" t="inlineStr">
        <is>
          <t>MAID EZ CLEANING - PROFIT MARGIN CALCULATOR</t>
        </is>
      </c>
    </row>
    <row r="3">
      <c r="A3" t="inlineStr">
        <is>
          <t>Revenue per Job:</t>
        </is>
      </c>
      <c r="C3" s="14" t="inlineStr">
        <is>
          <t>Enter amount</t>
        </is>
      </c>
    </row>
    <row r="5">
      <c r="A5" s="2" t="inlineStr">
        <is>
          <t>COSTS</t>
        </is>
      </c>
    </row>
    <row r="6">
      <c r="A6" t="inlineStr">
        <is>
          <t>Labor Cost (hours x $25/hr):</t>
        </is>
      </c>
      <c r="B6" s="7" t="inlineStr">
        <is>
          <t>Enter hours</t>
        </is>
      </c>
      <c r="C6" s="8">
        <f>B6*25</f>
        <v/>
      </c>
    </row>
    <row r="7">
      <c r="A7" t="inlineStr">
        <is>
          <t>Supply Cost:</t>
        </is>
      </c>
      <c r="C7" s="14" t="inlineStr">
        <is>
          <t>Enter amount</t>
        </is>
      </c>
    </row>
    <row r="8">
      <c r="A8" t="inlineStr">
        <is>
          <t>Overhead (10% of revenue):</t>
        </is>
      </c>
      <c r="C8" s="8">
        <f>C3*0.10</f>
        <v/>
      </c>
    </row>
    <row r="10">
      <c r="A10" s="10" t="inlineStr">
        <is>
          <t>NET PROFIT:</t>
        </is>
      </c>
      <c r="C10" s="15">
        <f>C3-SUM(C6:C8)</f>
        <v/>
      </c>
    </row>
    <row r="11">
      <c r="A11" s="10" t="inlineStr">
        <is>
          <t>PROFIT MARGIN:</t>
        </is>
      </c>
      <c r="C11" s="16">
        <f>IF(C3&gt;0,C10/C3,0)</f>
        <v/>
      </c>
    </row>
    <row r="14">
      <c r="A14" s="2" t="inlineStr">
        <is>
          <t>TARGET PROFIT CALCULATOR</t>
        </is>
      </c>
    </row>
    <row r="15">
      <c r="A15" t="inlineStr">
        <is>
          <t>Desired hourly rate:</t>
        </is>
      </c>
      <c r="C15" s="14" t="inlineStr">
        <is>
          <t>Enter amount</t>
        </is>
      </c>
    </row>
    <row r="16">
      <c r="A16" t="inlineStr">
        <is>
          <t>Estimated hours:</t>
        </is>
      </c>
      <c r="C16" s="7" t="inlineStr">
        <is>
          <t>Enter hours</t>
        </is>
      </c>
    </row>
    <row r="17">
      <c r="A17" t="inlineStr">
        <is>
          <t>Supply cost:</t>
        </is>
      </c>
      <c r="C17" s="14" t="inlineStr">
        <is>
          <t>Enter amount</t>
        </is>
      </c>
    </row>
    <row r="18">
      <c r="A18" s="10" t="inlineStr">
        <is>
          <t>MINIMUM QUOTE:</t>
        </is>
      </c>
      <c r="C18" s="13">
        <f>(C15*C16+C17)*1.4</f>
        <v/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2026-04-08T19:12:50Z</dcterms:created>
  <dcterms:modified xmlns:dcterms="http://purl.org/dc/terms/" xmlns:xsi="http://www.w3.org/2001/XMLSchema-instance" xsi:type="dcterms:W3CDTF">2026-04-08T19:13:23Z</dcterms:modified>
</cp:coreProperties>
</file>